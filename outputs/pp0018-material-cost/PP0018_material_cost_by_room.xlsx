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d909d87cb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成本汇总" sheetId="1" r:id="R4472792214b746c6"/>
    <x:sheet xmlns:r="http://schemas.openxmlformats.org/officeDocument/2006/relationships" name="价格与来源" sheetId="2" r:id="R4ae6a7f143e3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#,##0.00"/>
    <x:numFmt numFmtId="202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1F4E78"/>
      <x:name val="Carlito"/>
    </x:font>
    <x:font>
      <x:b/>
      <x:sz val="14"/>
      <x:color rgb="FF1F4E78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B91C1C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DE2E2"/>
      </x:patternFill>
    </x:fill>
  </x:fills>
  <x:borders count="20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  <x:border>
      <x:top style="thin">
        <x:color rgb="FFB8C7D9"/>
      </x:top>
      <x:bottom style="thin">
        <x:color rgb="FFB8C7D9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6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0" xfId="0" applyNumberFormat="1" applyFont="1" applyFill="1" applyBorder="1"/>
    <x:xf numFmtId="0" fontId="8" fillId="2" borderId="11" xfId="0" applyNumberFormat="1" applyFont="1" applyFill="1" applyBorder="1"/>
    <x:xf numFmtId="0" fontId="8" fillId="2" borderId="12" xfId="0" applyNumberFormat="1" applyFont="1" applyFill="1" applyBorder="1"/>
    <x:xf numFmtId="0" fontId="8" fillId="2" borderId="10" xfId="0" applyNumberFormat="1" applyFont="1" applyFill="1" applyBorder="1" applyAlignment="1">
      <x:alignment vertical="center"/>
    </x:xf>
    <x:xf numFmtId="0" fontId="8" fillId="2" borderId="11" xfId="0" applyNumberFormat="1" applyFont="1" applyFill="1" applyBorder="1" applyAlignment="1">
      <x:alignment vertical="center"/>
    </x:xf>
    <x:xf numFmtId="0" fontId="8" fillId="2" borderId="12" xfId="0" applyNumberFormat="1" applyFont="1" applyFill="1" applyBorder="1" applyAlignment="1">
      <x:alignment vertical="center"/>
    </x:xf>
    <x:xf numFmtId="0" fontId="8" fillId="2" borderId="11" xfId="0" applyNumberFormat="1" applyFont="1" applyFill="1" applyBorder="1" applyAlignment="1">
      <x:alignment horizontal="center" vertical="center"/>
    </x:xf>
    <x:xf numFmtId="200" fontId="8" fillId="2" borderId="11" xfId="0" applyNumberFormat="1" applyFont="1" applyFill="1" applyBorder="1" applyAlignment="1">
      <x:alignment vertical="center"/>
    </x:xf>
    <x:xf numFmtId="201" fontId="6" fillId="5" borderId="7" xfId="0" applyNumberFormat="1" applyFont="1" applyFill="1" applyBorder="1" applyAlignment="1">
      <x:alignment vertical="center" wrapText="1"/>
    </x:xf>
    <x:xf numFmtId="201" fontId="3" fillId="4" borderId="9" xfId="0" applyNumberFormat="1" applyFont="1" applyFill="1" applyBorder="1" applyAlignment="1">
      <x:alignment vertical="center"/>
    </x:xf>
    <x:xf numFmtId="201" fontId="7" fillId="6" borderId="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8" fillId="2" borderId="11" xfId="0" applyNumberFormat="1" applyFont="1" applyFill="1" applyBorder="1" applyAlignment="1">
      <x:alignment vertical="center"/>
    </x:xf>
    <x:xf numFmtId="200" fontId="6" fillId="5" borderId="7" xfId="0" applyNumberFormat="1" applyFont="1" applyFill="1" applyBorder="1" applyAlignment="1">
      <x:alignment vertical="center" wrapText="1"/>
    </x:xf>
    <x:xf numFmtId="200" fontId="3" fillId="4" borderId="9" xfId="0" applyNumberFormat="1" applyFont="1" applyFill="1" applyBorder="1" applyAlignment="1">
      <x:alignment vertical="center"/>
    </x:xf>
    <x:xf numFmtId="200" fontId="7" fillId="6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4" fillId="5" borderId="1" xfId="0" applyNumberFormat="1" applyFont="1" applyFill="1" applyBorder="1" applyAlignment="1">
      <x:alignment horizontal="center" vertical="center"/>
    </x:xf>
    <x:xf numFmtId="0" fontId="6" fillId="5" borderId="13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201" fontId="6" fillId="5" borderId="14" xfId="0" applyNumberFormat="1" applyFont="1" applyFill="1" applyBorder="1" applyAlignment="1">
      <x:alignment vertical="center" wrapText="1"/>
    </x:xf>
    <x:xf numFmtId="20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201" fontId="6" fillId="5" borderId="16" xfId="0" applyNumberFormat="1" applyFont="1" applyFill="1" applyBorder="1" applyAlignment="1">
      <x:alignment vertical="center" wrapText="1"/>
    </x:xf>
    <x:xf numFmtId="200" fontId="6" fillId="5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/>
    </x:xf>
    <x:xf numFmtId="201" fontId="3" fillId="4" borderId="17" xfId="0" applyNumberFormat="1" applyFont="1" applyFill="1" applyBorder="1" applyAlignment="1">
      <x:alignment vertical="center"/>
    </x:xf>
    <x:xf numFmtId="200" fontId="3" fillId="4" borderId="17" xfId="0" applyNumberFormat="1" applyFont="1" applyFill="1" applyBorder="1" applyAlignment="1">
      <x:alignment vertical="center"/>
    </x:xf>
    <x:xf numFmtId="0" fontId="3" fillId="4" borderId="15" xfId="0" applyNumberFormat="1" applyFont="1" applyFill="1" applyBorder="1" applyAlignment="1">
      <x:alignment vertical="center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201" fontId="7" fillId="6" borderId="16" xfId="0" applyNumberFormat="1" applyFont="1" applyFill="1" applyBorder="1" applyAlignment="1">
      <x:alignment vertical="center" wrapText="1"/>
    </x:xf>
    <x:xf numFmtId="200" fontId="7" fillId="6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0" fontId="0" fillId="0" borderId="17" xfId="0" applyNumberFormat="1" applyFont="1" applyFill="1" applyBorder="1"/>
    <x:xf numFmtId="0" fontId="0" fillId="0" borderId="15" xfId="0" applyNumberFormat="1" applyFont="1" applyFill="1" applyBorder="1"/>
    <x:xf numFmtId="0" fontId="8" fillId="2" borderId="18" xfId="0" applyNumberFormat="1" applyFont="1" applyFill="1" applyBorder="1" applyAlignment="1">
      <x:alignment vertical="center"/>
    </x:xf>
    <x:xf numFmtId="201" fontId="8" fillId="2" borderId="18" xfId="0" applyNumberFormat="1" applyFont="1" applyFill="1" applyBorder="1" applyAlignment="1">
      <x:alignment vertical="center"/>
    </x:xf>
    <x:xf numFmtId="200" fontId="8" fillId="2" borderId="18" xfId="0" applyNumberFormat="1" applyFont="1" applyFill="1" applyBorder="1" applyAlignment="1">
      <x:alignment vertical="center"/>
    </x:xf>
    <x:xf numFmtId="0" fontId="8" fillId="2" borderId="18" xfId="0" applyNumberFormat="1" applyFont="1" applyFill="1" applyBorder="1" applyAlignment="1">
      <x:alignment horizontal="center" vertical="center"/>
    </x:xf>
    <x:xf numFmtId="0" fontId="8" fillId="2" borderId="19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34ffd2a804863" /><Relationship Type="http://schemas.openxmlformats.org/officeDocument/2006/relationships/theme" Target="/xl/theme/theme1.xml" Id="R07a2af775bc449fc" /><Relationship Type="http://schemas.openxmlformats.org/officeDocument/2006/relationships/sharedStrings" Target="/xl/sharedStrings.xml" Id="R7e6d75846ce14292" /><Relationship Type="http://schemas.openxmlformats.org/officeDocument/2006/relationships/worksheet" Target="/xl/worksheets/sheet1.xml" Id="R4472792214b746c6" /><Relationship Type="http://schemas.openxmlformats.org/officeDocument/2006/relationships/worksheet" Target="/xl/worksheets/sheet2.xml" Id="R4ae6a7f143e3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25" hidden="0" customWidth="1"/>
    <x:col min="4" max="4" width="16" hidden="0" customWidth="1"/>
    <x:col min="5" max="5" width="12" hidden="0" customWidth="1"/>
    <x:col min="6" max="6" width="10" hidden="0" customWidth="1"/>
    <x:col min="7" max="7" width="13" hidden="0" customWidth="1"/>
    <x:col min="8" max="8" width="12" hidden="0" customWidth="1"/>
    <x:col min="9" max="9" width="14" hidden="0" customWidth="1"/>
    <x:col min="10" max="10" width="12" hidden="0" customWidth="1"/>
    <x:col min="11" max="11" width="28" hidden="0" customWidth="1"/>
    <x:col min="12" max="12" width="42" hidden="0" customWidth="1"/>
  </x:cols>
  <x:sheetData>
    <x:row r="1" ht="30" customHeight="1">
      <x:c r="A1" s="4" t="str">
        <x:v>PP0018 材料成本汇总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8" t="str">
        <x:v>每个 Traveler 文件作为一个房间单独汇总，共 8 个房间；Pickinglist数量优先，数量为空时回退Cuttinglist；材料单价来自当前库存商品资料预计采购价；未知价格按0计算并标红。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2" t="str">
        <x:v>房间数</x:v>
      </x:c>
      <x:c r="B4" s="12"/>
      <x:c r="D4" s="12" t="str">
        <x:v>材料明细行数</x:v>
      </x:c>
      <x:c r="E4" s="12"/>
      <x:c r="G4" s="12" t="str">
        <x:v>未知价格行数</x:v>
      </x:c>
      <x:c r="H4" s="12"/>
      <x:c r="J4" s="12" t="str">
        <x:v>总成本</x:v>
      </x:c>
      <x:c r="K4" s="12"/>
    </x:row>
    <x:row r="5">
      <x:c r="A5" s="81" t="n">
        <x:f>COUNTIF(J9:J52,"房间材料成本")</x:f>
        <x:v>8</x:v>
      </x:c>
      <x:c r="B5" s="20"/>
      <x:c r="D5" s="81" t="n">
        <x:f>COUNTIF(J9:J52,"已知")+COUNTIF(J9:J52,"未知价格")</x:f>
        <x:v>34</x:v>
      </x:c>
      <x:c r="E5" s="20"/>
      <x:c r="G5" s="81" t="n">
        <x:f>COUNTIF(J9:J52,"未知价格")</x:f>
        <x:v>2</x:v>
      </x:c>
      <x:c r="H5" s="20"/>
      <x:c r="J5" s="21" t="n">
        <x:f>I52</x:f>
        <x:v>29927.564000000002</x:v>
      </x:c>
      <x:c r="K5" s="22"/>
    </x:row>
    <x:row r="8" ht="28" customHeight="1">
      <x:c r="A8" s="33" t="str">
        <x:v>房间</x:v>
      </x:c>
      <x:c r="B8" s="34" t="str">
        <x:v>来源文件</x:v>
      </x:c>
      <x:c r="C8" s="34" t="str">
        <x:v>材料名称</x:v>
      </x:c>
      <x:c r="D8" s="34" t="str">
        <x:v>规格</x:v>
      </x:c>
      <x:c r="E8" s="34" t="str">
        <x:v>商品编号</x:v>
      </x:c>
      <x:c r="F8" s="34" t="str">
        <x:v>单位</x:v>
      </x:c>
      <x:c r="G8" s="34" t="str">
        <x:v>汇总数量</x:v>
      </x:c>
      <x:c r="H8" s="34" t="str">
        <x:v>单价</x:v>
      </x:c>
      <x:c r="I8" s="34" t="str">
        <x:v>材料成本</x:v>
      </x:c>
      <x:c r="J8" s="34" t="str">
        <x:v>价格状态</x:v>
      </x:c>
      <x:c r="K8" s="34" t="str">
        <x:v>数量来源</x:v>
      </x:c>
      <x:c r="L8" s="35" t="str">
        <x:v>价格说明</x:v>
      </x:c>
    </x:row>
    <x:row r="9" ht="36" customHeight="1">
      <x:c r="A9" s="82" t="str">
        <x:v>landing--laundry（PP0018landinglaundry）</x:v>
      </x:c>
      <x:c r="B9" s="83" t="str">
        <x:v>Work Order Traveler(PP0018landinglaundry).xlsx</x:v>
      </x:c>
      <x:c r="C9" s="83" t="str">
        <x:v>18mm--plywood</x:v>
      </x:c>
      <x:c r="D9" s="83" t="str">
        <x:v>2440*1220</x:v>
      </x:c>
      <x:c r="E9" s="83" t="str">
        <x:v>M0004</x:v>
      </x:c>
      <x:c r="F9" s="83" t="str">
        <x:v>SHT</x:v>
      </x:c>
      <x:c r="G9" s="84" t="n">
        <x:v>7</x:v>
      </x:c>
      <x:c r="H9" s="85" t="n">
        <x:v>31.76</x:v>
      </x:c>
      <x:c r="I9" s="85" t="n">
        <x:f>G9*H9</x:f>
        <x:v>222.32000000000002</x:v>
      </x:c>
      <x:c r="J9" s="83" t="str">
        <x:v>已知</x:v>
      </x:c>
      <x:c r="K9" s="83" t="str">
        <x:v>Pickinglist</x:v>
      </x:c>
      <x:c r="L9" s="83" t="str">
        <x:v>库存商品资料 / 预计采购价；沿用项目现有材料映射规则</x:v>
      </x:c>
    </x:row>
    <x:row r="10" ht="36" customHeight="1">
      <x:c r="A10" s="86" t="str">
        <x:v>landing--laundry（PP0018landinglaundry）</x:v>
      </x:c>
      <x:c r="B10" s="87" t="str">
        <x:v>Work Order Traveler(PP0018landinglaundry).xlsx</x:v>
      </x:c>
      <x:c r="C10" s="87" t="str">
        <x:v>19.1mm--Cashmere SM</x:v>
      </x:c>
      <x:c r="D10" s="87" t="str">
        <x:v>2745*1220</x:v>
      </x:c>
      <x:c r="E10" s="87" t="str">
        <x:v>M0049</x:v>
      </x:c>
      <x:c r="F10" s="87" t="str">
        <x:v>SHT</x:v>
      </x:c>
      <x:c r="G10" s="88" t="n">
        <x:v>4</x:v>
      </x:c>
      <x:c r="H10" s="89" t="n">
        <x:v>205</x:v>
      </x:c>
      <x:c r="I10" s="89" t="n">
        <x:f>G10*H10</x:f>
        <x:v>820</x:v>
      </x:c>
      <x:c r="J10" s="87" t="str">
        <x:v>已知</x:v>
      </x:c>
      <x:c r="K10" s="87" t="str">
        <x:v>Pickinglist</x:v>
      </x:c>
      <x:c r="L10" s="87" t="str">
        <x:v>库存商品资料 / 预计采购价；沿用项目现有材料映射规则</x:v>
      </x:c>
    </x:row>
    <x:row r="11" ht="36" customHeight="1">
      <x:c r="A11" s="86" t="str">
        <x:v>landing--laundry（PP0018landinglaundry）</x:v>
      </x:c>
      <x:c r="B11" s="87" t="str">
        <x:v>Work Order Traveler(PP0018landinglaundry).xlsx</x:v>
      </x:c>
      <x:c r="C11" s="87" t="str">
        <x:v>5.4mm--plywood</x:v>
      </x:c>
      <x:c r="D11" s="87" t="str">
        <x:v>2440*1220</x:v>
      </x:c>
      <x:c r="E11" s="87" t="str">
        <x:v>M0002</x:v>
      </x:c>
      <x:c r="F11" s="87" t="str">
        <x:v>SHT</x:v>
      </x:c>
      <x:c r="G11" s="88" t="n">
        <x:v>2</x:v>
      </x:c>
      <x:c r="H11" s="89" t="n">
        <x:v>12.5</x:v>
      </x:c>
      <x:c r="I11" s="89" t="n">
        <x:f>G11*H11</x:f>
        <x:v>25</x:v>
      </x:c>
      <x:c r="J11" s="87" t="str">
        <x:v>已知</x:v>
      </x:c>
      <x:c r="K11" s="87" t="str">
        <x:v>Pickinglist</x:v>
      </x:c>
      <x:c r="L11" s="87" t="str">
        <x:v>库存商品资料 / 预计采购价；沿用项目现有材料映射规则</x:v>
      </x:c>
    </x:row>
    <x:row r="12" ht="36" customHeight="1">
      <x:c r="A12" s="86" t="str">
        <x:v>landing--laundry（PP0018landinglaundry）</x:v>
      </x:c>
      <x:c r="B12" s="87" t="str">
        <x:v>Work Order Traveler(PP0018landinglaundry).xlsx</x:v>
      </x:c>
      <x:c r="C12" s="87" t="str">
        <x:v>Edge banding--Cashmere SM</x:v>
      </x:c>
      <x:c r="D12" s="87" t="str">
        <x:v>M/米</x:v>
      </x:c>
      <x:c r="E12" s="87" t="str">
        <x:v>M0050</x:v>
      </x:c>
      <x:c r="F12" s="87" t="str">
        <x:v>M</x:v>
      </x:c>
      <x:c r="G12" s="88" t="n">
        <x:v>101</x:v>
      </x:c>
      <x:c r="H12" s="89" t="n">
        <x:v>1.07</x:v>
      </x:c>
      <x:c r="I12" s="89" t="n">
        <x:f>G12*H12</x:f>
        <x:v>108.07000000000001</x:v>
      </x:c>
      <x:c r="J12" s="87" t="str">
        <x:v>已知</x:v>
      </x:c>
      <x:c r="K12" s="87" t="str">
        <x:v>Pickinglist</x:v>
      </x:c>
      <x:c r="L12" s="87" t="str">
        <x:v>库存商品资料 / 预计采购价；沿用项目现有材料映射规则；封边颜色按该房间唯一 Panel 颜色推定</x:v>
      </x:c>
    </x:row>
    <x:row r="13" ht="36" customHeight="1">
      <x:c r="A13" s="90" t="str">
        <x:v>landing--laundry（PP0018landinglaundry） 小计</x:v>
      </x:c>
      <x:c r="B13" s="90"/>
      <x:c r="C13" s="90"/>
      <x:c r="D13" s="90"/>
      <x:c r="E13" s="90"/>
      <x:c r="F13" s="90"/>
      <x:c r="G13" s="91"/>
      <x:c r="H13" s="92"/>
      <x:c r="I13" s="92" t="n">
        <x:f>SUM(I9:I12)</x:f>
        <x:v>1175.3899999999999</x:v>
      </x:c>
      <x:c r="J13" s="90" t="str">
        <x:v>房间材料成本</x:v>
      </x:c>
      <x:c r="K13" s="90"/>
      <x:c r="L13" s="93"/>
    </x:row>
    <x:row r="14" ht="36" customHeight="1">
      <x:c r="A14" s="86" t="str">
        <x:v>PP0018-BATH 3 PP0018-Bath 4 PP0018-bath 2 PP0018-BATH 1 PP0018-master bath（PP0018bathrooms）</x:v>
      </x:c>
      <x:c r="B14" s="87" t="str">
        <x:v>Work Order Traveler(PP0018bathrooms).xlsx</x:v>
      </x:c>
      <x:c r="C14" s="87" t="str">
        <x:v>14.5mm--plywood</x:v>
      </x:c>
      <x:c r="D14" s="87" t="str">
        <x:v>2440*1220</x:v>
      </x:c>
      <x:c r="E14" s="87" t="str">
        <x:v>M0003</x:v>
      </x:c>
      <x:c r="F14" s="87" t="str">
        <x:v>SHT</x:v>
      </x:c>
      <x:c r="G14" s="88" t="n">
        <x:v>4</x:v>
      </x:c>
      <x:c r="H14" s="89" t="n">
        <x:v>27.41</x:v>
      </x:c>
      <x:c r="I14" s="89" t="n">
        <x:f>G14*H14</x:f>
        <x:v>109.64</x:v>
      </x:c>
      <x:c r="J14" s="87" t="str">
        <x:v>已知</x:v>
      </x:c>
      <x:c r="K14" s="87" t="str">
        <x:v>Pickinglist</x:v>
      </x:c>
      <x:c r="L14" s="87" t="str">
        <x:v>库存商品资料 / 预计采购价；沿用项目现有材料映射规则</x:v>
      </x:c>
    </x:row>
    <x:row r="15" ht="36" customHeight="1">
      <x:c r="A15" s="86" t="str">
        <x:v>PP0018-BATH 3 PP0018-Bath 4 PP0018-bath 2 PP0018-BATH 1 PP0018-master bath（PP0018bathrooms）</x:v>
      </x:c>
      <x:c r="B15" s="87" t="str">
        <x:v>Work Order Traveler(PP0018bathrooms).xlsx</x:v>
      </x:c>
      <x:c r="C15" s="87" t="str">
        <x:v>18mm--plywood</x:v>
      </x:c>
      <x:c r="D15" s="87" t="str">
        <x:v>2440*1220</x:v>
      </x:c>
      <x:c r="E15" s="87" t="str">
        <x:v>M0004</x:v>
      </x:c>
      <x:c r="F15" s="87" t="str">
        <x:v>SHT</x:v>
      </x:c>
      <x:c r="G15" s="88" t="n">
        <x:v>6</x:v>
      </x:c>
      <x:c r="H15" s="89" t="n">
        <x:v>31.76</x:v>
      </x:c>
      <x:c r="I15" s="89" t="n">
        <x:f>G15*H15</x:f>
        <x:v>190.56</x:v>
      </x:c>
      <x:c r="J15" s="87" t="str">
        <x:v>已知</x:v>
      </x:c>
      <x:c r="K15" s="87" t="str">
        <x:v>Pickinglist</x:v>
      </x:c>
      <x:c r="L15" s="87" t="str">
        <x:v>库存商品资料 / 预计采购价；沿用项目现有材料映射规则</x:v>
      </x:c>
    </x:row>
    <x:row r="16" ht="36" customHeight="1">
      <x:c r="A16" s="86" t="str">
        <x:v>PP0018-BATH 3 PP0018-Bath 4 PP0018-bath 2 PP0018-BATH 1 PP0018-master bath（PP0018bathrooms）</x:v>
      </x:c>
      <x:c r="B16" s="87" t="str">
        <x:v>Work Order Traveler(PP0018bathrooms).xlsx</x:v>
      </x:c>
      <x:c r="C16" s="87" t="str">
        <x:v>19.1mm--Ivory Oak</x:v>
      </x:c>
      <x:c r="D16" s="87" t="str">
        <x:v>2794*1232</x:v>
      </x:c>
      <x:c r="E16" s="87" t="str">
        <x:v>M0144</x:v>
      </x:c>
      <x:c r="F16" s="87" t="str">
        <x:v>SHT</x:v>
      </x:c>
      <x:c r="G16" s="88" t="n">
        <x:v>2</x:v>
      </x:c>
      <x:c r="H16" s="89" t="n">
        <x:v>455</x:v>
      </x:c>
      <x:c r="I16" s="89" t="n">
        <x:f>G16*H16</x:f>
        <x:v>910</x:v>
      </x:c>
      <x:c r="J16" s="87" t="str">
        <x:v>已知</x:v>
      </x:c>
      <x:c r="K16" s="87" t="str">
        <x:v>Pickinglist</x:v>
      </x:c>
      <x:c r="L16" s="87" t="str">
        <x:v>库存商品资料 / 预计采购价；沿用项目现有材料映射规则</x:v>
      </x:c>
    </x:row>
    <x:row r="17" ht="36" customHeight="1">
      <x:c r="A17" s="86" t="str">
        <x:v>PP0018-BATH 3 PP0018-Bath 4 PP0018-bath 2 PP0018-BATH 1 PP0018-master bath（PP0018bathrooms）</x:v>
      </x:c>
      <x:c r="B17" s="87" t="str">
        <x:v>Work Order Traveler(PP0018bathrooms).xlsx</x:v>
      </x:c>
      <x:c r="C17" s="87" t="str">
        <x:v>19.1mm--Ivory Oak</x:v>
      </x:c>
      <x:c r="D17" s="87" t="str">
        <x:v>562*1232</x:v>
      </x:c>
      <x:c r="E17" s="87" t="str">
        <x:v>M0144</x:v>
      </x:c>
      <x:c r="F17" s="87" t="str">
        <x:v>SHT</x:v>
      </x:c>
      <x:c r="G17" s="88" t="n">
        <x:v>1</x:v>
      </x:c>
      <x:c r="H17" s="89" t="n">
        <x:v>455</x:v>
      </x:c>
      <x:c r="I17" s="89" t="n">
        <x:f>G17*H17</x:f>
        <x:v>455</x:v>
      </x:c>
      <x:c r="J17" s="87" t="str">
        <x:v>已知</x:v>
      </x:c>
      <x:c r="K17" s="87" t="str">
        <x:v>Pickinglist</x:v>
      </x:c>
      <x:c r="L17" s="87" t="str">
        <x:v>库存商品资料 / 预计采购价；沿用项目现有材料映射规则</x:v>
      </x:c>
    </x:row>
    <x:row r="18" ht="36" customHeight="1">
      <x:c r="A18" s="86" t="str">
        <x:v>PP0018-BATH 3 PP0018-Bath 4 PP0018-bath 2 PP0018-BATH 1 PP0018-master bath（PP0018bathrooms）</x:v>
      </x:c>
      <x:c r="B18" s="87" t="str">
        <x:v>Work Order Traveler(PP0018bathrooms).xlsx</x:v>
      </x:c>
      <x:c r="C18" s="87" t="str">
        <x:v>5.4mm--plywood</x:v>
      </x:c>
      <x:c r="D18" s="87" t="str">
        <x:v>2440*1220</x:v>
      </x:c>
      <x:c r="E18" s="87" t="str">
        <x:v>M0002</x:v>
      </x:c>
      <x:c r="F18" s="87" t="str">
        <x:v>SHT</x:v>
      </x:c>
      <x:c r="G18" s="88" t="n">
        <x:v>2</x:v>
      </x:c>
      <x:c r="H18" s="89" t="n">
        <x:v>12.5</x:v>
      </x:c>
      <x:c r="I18" s="89" t="n">
        <x:f>G18*H18</x:f>
        <x:v>25</x:v>
      </x:c>
      <x:c r="J18" s="87" t="str">
        <x:v>已知</x:v>
      </x:c>
      <x:c r="K18" s="87" t="str">
        <x:v>Pickinglist</x:v>
      </x:c>
      <x:c r="L18" s="87" t="str">
        <x:v>库存商品资料 / 预计采购价；沿用项目现有材料映射规则</x:v>
      </x:c>
    </x:row>
    <x:row r="19" ht="36" customHeight="1">
      <x:c r="A19" s="90" t="str">
        <x:v>PP0018-BATH 3 PP0018-Bath 4 PP0018-bath 2 PP0018-BATH 1 PP0018-master bath（PP0018bathrooms） 小计</x:v>
      </x:c>
      <x:c r="B19" s="90"/>
      <x:c r="C19" s="90"/>
      <x:c r="D19" s="90"/>
      <x:c r="E19" s="90"/>
      <x:c r="F19" s="90"/>
      <x:c r="G19" s="91"/>
      <x:c r="H19" s="92"/>
      <x:c r="I19" s="92" t="n">
        <x:f>SUM(I14:I18)</x:f>
        <x:v>1690.2</x:v>
      </x:c>
      <x:c r="J19" s="90" t="str">
        <x:v>房间材料成本</x:v>
      </x:c>
      <x:c r="K19" s="90"/>
      <x:c r="L19" s="93"/>
    </x:row>
    <x:row r="20" ht="36" customHeight="1">
      <x:c r="A20" s="86" t="str">
        <x:v>PP0018-BED 1 CLOSET（PP0018bed1closet）</x:v>
      </x:c>
      <x:c r="B20" s="87" t="str">
        <x:v>Work Order Traveler(PP0018bed1closet).xlsx</x:v>
      </x:c>
      <x:c r="C20" s="87" t="str">
        <x:v>14.5mm--plywood</x:v>
      </x:c>
      <x:c r="D20" s="87" t="str">
        <x:v>2440*1220</x:v>
      </x:c>
      <x:c r="E20" s="87" t="str">
        <x:v>M0003</x:v>
      </x:c>
      <x:c r="F20" s="87" t="str">
        <x:v>SHT</x:v>
      </x:c>
      <x:c r="G20" s="88" t="n">
        <x:v>1</x:v>
      </x:c>
      <x:c r="H20" s="89" t="n">
        <x:v>27.41</x:v>
      </x:c>
      <x:c r="I20" s="89" t="n">
        <x:f>G20*H20</x:f>
        <x:v>27.41</x:v>
      </x:c>
      <x:c r="J20" s="87" t="str">
        <x:v>已知</x:v>
      </x:c>
      <x:c r="K20" s="87" t="str">
        <x:v>Pickinglist</x:v>
      </x:c>
      <x:c r="L20" s="87" t="str">
        <x:v>库存商品资料 / 预计采购价；沿用项目现有材料映射规则</x:v>
      </x:c>
    </x:row>
    <x:row r="21" ht="36" customHeight="1">
      <x:c r="A21" s="86" t="str">
        <x:v>PP0018-BED 1 CLOSET（PP0018bed1closet）</x:v>
      </x:c>
      <x:c r="B21" s="87" t="str">
        <x:v>Work Order Traveler(PP0018bed1closet).xlsx</x:v>
      </x:c>
      <x:c r="C21" s="87" t="str">
        <x:v>18mm--plywood</x:v>
      </x:c>
      <x:c r="D21" s="87" t="str">
        <x:v>2440*1220</x:v>
      </x:c>
      <x:c r="E21" s="87" t="str">
        <x:v>M0004</x:v>
      </x:c>
      <x:c r="F21" s="87" t="str">
        <x:v>SHT</x:v>
      </x:c>
      <x:c r="G21" s="88" t="n">
        <x:v>1</x:v>
      </x:c>
      <x:c r="H21" s="89" t="n">
        <x:v>31.76</x:v>
      </x:c>
      <x:c r="I21" s="89" t="n">
        <x:f>G21*H21</x:f>
        <x:v>31.76</x:v>
      </x:c>
      <x:c r="J21" s="87" t="str">
        <x:v>已知</x:v>
      </x:c>
      <x:c r="K21" s="87" t="str">
        <x:v>Pickinglist</x:v>
      </x:c>
      <x:c r="L21" s="87" t="str">
        <x:v>库存商品资料 / 预计采购价；沿用项目现有材料映射规则</x:v>
      </x:c>
    </x:row>
    <x:row r="22" ht="36" customHeight="1">
      <x:c r="A22" s="86" t="str">
        <x:v>PP0018-BED 1 CLOSET（PP0018bed1closet）</x:v>
      </x:c>
      <x:c r="B22" s="87" t="str">
        <x:v>Work Order Traveler(PP0018bed1closet).xlsx</x:v>
      </x:c>
      <x:c r="C22" s="87" t="str">
        <x:v>19.1mm--Woodline 4</x:v>
      </x:c>
      <x:c r="D22" s="87" t="str">
        <x:v>2745*1220</x:v>
      </x:c>
      <x:c r="E22" s="87" t="str">
        <x:v>M0019</x:v>
      </x:c>
      <x:c r="F22" s="87" t="str">
        <x:v>SHT</x:v>
      </x:c>
      <x:c r="G22" s="88" t="n">
        <x:v>6</x:v>
      </x:c>
      <x:c r="H22" s="89" t="n">
        <x:v>108.7</x:v>
      </x:c>
      <x:c r="I22" s="89" t="n">
        <x:f>G22*H22</x:f>
        <x:v>652.2</x:v>
      </x:c>
      <x:c r="J22" s="87" t="str">
        <x:v>已知</x:v>
      </x:c>
      <x:c r="K22" s="87" t="str">
        <x:v>Pickinglist</x:v>
      </x:c>
      <x:c r="L22" s="87" t="str">
        <x:v>库存商品资料 / 预计采购价；沿用项目现有材料映射规则</x:v>
      </x:c>
    </x:row>
    <x:row r="23" ht="36" customHeight="1">
      <x:c r="A23" s="94" t="str">
        <x:v>PP0018-BED 1 CLOSET（PP0018bed1closet）</x:v>
      </x:c>
      <x:c r="B23" s="95" t="str">
        <x:v>Work Order Traveler(PP0018bed1closet).xlsx</x:v>
      </x:c>
      <x:c r="C23" s="95" t="str">
        <x:v>9mm--Woodline 4</x:v>
      </x:c>
      <x:c r="D23" s="95" t="str">
        <x:v>2745*1220</x:v>
      </x:c>
      <x:c r="E23" s="95" t="str"/>
      <x:c r="F23" s="95" t="str">
        <x:v>SHT</x:v>
      </x:c>
      <x:c r="G23" s="96" t="n">
        <x:v>3</x:v>
      </x:c>
      <x:c r="H23" s="97" t="n">
        <x:v>0</x:v>
      </x:c>
      <x:c r="I23" s="97" t="n">
        <x:f>G23*H23</x:f>
        <x:v>0</x:v>
      </x:c>
      <x:c r="J23" s="95" t="str">
        <x:v>未知价格</x:v>
      </x:c>
      <x:c r="K23" s="95" t="str">
        <x:v>Cuttinglist（Pickinglist缺少）</x:v>
      </x:c>
      <x:c r="L23" s="95" t="str">
        <x:v>商品库中没有可确认的对应价格</x:v>
      </x:c>
    </x:row>
    <x:row r="24" ht="36" customHeight="1">
      <x:c r="A24" s="86" t="str">
        <x:v>PP0018-BED 1 CLOSET（PP0018bed1closet）</x:v>
      </x:c>
      <x:c r="B24" s="87" t="str">
        <x:v>Work Order Traveler(PP0018bed1closet).xlsx</x:v>
      </x:c>
      <x:c r="C24" s="87" t="str">
        <x:v>Edge banding--Woodline 4</x:v>
      </x:c>
      <x:c r="D24" s="87" t="str">
        <x:v>M/米</x:v>
      </x:c>
      <x:c r="E24" s="87" t="str">
        <x:v>M0020</x:v>
      </x:c>
      <x:c r="F24" s="87" t="str">
        <x:v>M</x:v>
      </x:c>
      <x:c r="G24" s="88" t="n">
        <x:v>89.18</x:v>
      </x:c>
      <x:c r="H24" s="89" t="n">
        <x:v>0.8</x:v>
      </x:c>
      <x:c r="I24" s="89" t="n">
        <x:f>G24*H24</x:f>
        <x:v>71.34400000000001</x:v>
      </x:c>
      <x:c r="J24" s="87" t="str">
        <x:v>已知</x:v>
      </x:c>
      <x:c r="K24" s="87" t="str">
        <x:v>Pickinglist</x:v>
      </x:c>
      <x:c r="L24" s="87" t="str">
        <x:v>库存商品资料 / 预计采购价；沿用项目现有材料映射规则</x:v>
      </x:c>
    </x:row>
    <x:row r="25" ht="36" customHeight="1">
      <x:c r="A25" s="90" t="str">
        <x:v>PP0018-BED 1 CLOSET（PP0018bed1closet） 小计</x:v>
      </x:c>
      <x:c r="B25" s="90"/>
      <x:c r="C25" s="90"/>
      <x:c r="D25" s="90"/>
      <x:c r="E25" s="90"/>
      <x:c r="F25" s="90"/>
      <x:c r="G25" s="91"/>
      <x:c r="H25" s="92"/>
      <x:c r="I25" s="92" t="n">
        <x:f>SUM(I20:I24)</x:f>
        <x:v>782.714</x:v>
      </x:c>
      <x:c r="J25" s="90" t="str">
        <x:v>房间材料成本</x:v>
      </x:c>
      <x:c r="K25" s="90"/>
      <x:c r="L25" s="93"/>
    </x:row>
    <x:row r="26" ht="36" customHeight="1">
      <x:c r="A26" s="86" t="str">
        <x:v>PP0018-Bedroom2 PP0018-Bedroom3 PP0018-Bedroom4（PP0018bedroom_2_3_4closetwalnut）</x:v>
      </x:c>
      <x:c r="B26" s="87" t="str">
        <x:v>Work Order Traveler(PP0018bedroom_2_3_4closetwalnut).xlsx</x:v>
      </x:c>
      <x:c r="C26" s="87" t="str">
        <x:v>14.5mm--plywood</x:v>
      </x:c>
      <x:c r="D26" s="87" t="str">
        <x:v>2440*1220</x:v>
      </x:c>
      <x:c r="E26" s="87" t="str">
        <x:v>M0003</x:v>
      </x:c>
      <x:c r="F26" s="87" t="str">
        <x:v>SHT</x:v>
      </x:c>
      <x:c r="G26" s="88" t="n">
        <x:v>4</x:v>
      </x:c>
      <x:c r="H26" s="89" t="n">
        <x:v>27.41</x:v>
      </x:c>
      <x:c r="I26" s="89" t="n">
        <x:f>G26*H26</x:f>
        <x:v>109.64</x:v>
      </x:c>
      <x:c r="J26" s="87" t="str">
        <x:v>已知</x:v>
      </x:c>
      <x:c r="K26" s="87" t="str">
        <x:v>Pickinglist</x:v>
      </x:c>
      <x:c r="L26" s="87" t="str">
        <x:v>库存商品资料 / 预计采购价；沿用项目现有材料映射规则</x:v>
      </x:c>
    </x:row>
    <x:row r="27" ht="36" customHeight="1">
      <x:c r="A27" s="86" t="str">
        <x:v>PP0018-Bedroom2 PP0018-Bedroom3 PP0018-Bedroom4（PP0018bedroom_2_3_4closetwalnut）</x:v>
      </x:c>
      <x:c r="B27" s="87" t="str">
        <x:v>Work Order Traveler(PP0018bedroom_2_3_4closetwalnut).xlsx</x:v>
      </x:c>
      <x:c r="C27" s="87" t="str">
        <x:v>18mm--plywood</x:v>
      </x:c>
      <x:c r="D27" s="87" t="str">
        <x:v>2440*1220</x:v>
      </x:c>
      <x:c r="E27" s="87" t="str">
        <x:v>M0004</x:v>
      </x:c>
      <x:c r="F27" s="87" t="str">
        <x:v>SHT</x:v>
      </x:c>
      <x:c r="G27" s="88" t="n">
        <x:v>21</x:v>
      </x:c>
      <x:c r="H27" s="89" t="n">
        <x:v>31.76</x:v>
      </x:c>
      <x:c r="I27" s="89" t="n">
        <x:f>G27*H27</x:f>
        <x:v>666.96</x:v>
      </x:c>
      <x:c r="J27" s="87" t="str">
        <x:v>已知</x:v>
      </x:c>
      <x:c r="K27" s="87" t="str">
        <x:v>Pickinglist</x:v>
      </x:c>
      <x:c r="L27" s="87" t="str">
        <x:v>库存商品资料 / 预计采购价；沿用项目现有材料映射规则</x:v>
      </x:c>
    </x:row>
    <x:row r="28" ht="36" customHeight="1">
      <x:c r="A28" s="86" t="str">
        <x:v>PP0018-Bedroom2 PP0018-Bedroom3 PP0018-Bedroom4（PP0018bedroom_2_3_4closetwalnut）</x:v>
      </x:c>
      <x:c r="B28" s="87" t="str">
        <x:v>Work Order Traveler(PP0018bedroom_2_3_4closetwalnut).xlsx</x:v>
      </x:c>
      <x:c r="C28" s="87" t="str">
        <x:v>19.1mm--Walnut</x:v>
      </x:c>
      <x:c r="D28" s="87" t="str">
        <x:v>2745*1220</x:v>
      </x:c>
      <x:c r="E28" s="87" t="str">
        <x:v>M0159</x:v>
      </x:c>
      <x:c r="F28" s="87" t="str">
        <x:v>SHT</x:v>
      </x:c>
      <x:c r="G28" s="88" t="n">
        <x:v>10</x:v>
      </x:c>
      <x:c r="H28" s="89" t="n">
        <x:v>117.3</x:v>
      </x:c>
      <x:c r="I28" s="89" t="n">
        <x:f>G28*H28</x:f>
        <x:v>1173</x:v>
      </x:c>
      <x:c r="J28" s="87" t="str">
        <x:v>已知</x:v>
      </x:c>
      <x:c r="K28" s="87" t="str">
        <x:v>Pickinglist</x:v>
      </x:c>
      <x:c r="L28" s="87" t="str">
        <x:v>库存商品资料 / 预计采购价；沿用项目现有材料映射规则</x:v>
      </x:c>
    </x:row>
    <x:row r="29" ht="36" customHeight="1">
      <x:c r="A29" s="86" t="str">
        <x:v>PP0018-Bedroom2 PP0018-Bedroom3 PP0018-Bedroom4（PP0018bedroom_2_3_4closetwalnut）</x:v>
      </x:c>
      <x:c r="B29" s="87" t="str">
        <x:v>Work Order Traveler(PP0018bedroom_2_3_4closetwalnut).xlsx</x:v>
      </x:c>
      <x:c r="C29" s="87" t="str">
        <x:v>5.4mm--plywood</x:v>
      </x:c>
      <x:c r="D29" s="87" t="str">
        <x:v>2440*1220</x:v>
      </x:c>
      <x:c r="E29" s="87" t="str">
        <x:v>M0002</x:v>
      </x:c>
      <x:c r="F29" s="87" t="str">
        <x:v>SHT</x:v>
      </x:c>
      <x:c r="G29" s="88" t="n">
        <x:v>11</x:v>
      </x:c>
      <x:c r="H29" s="89" t="n">
        <x:v>12.5</x:v>
      </x:c>
      <x:c r="I29" s="89" t="n">
        <x:f>G29*H29</x:f>
        <x:v>137.5</x:v>
      </x:c>
      <x:c r="J29" s="87" t="str">
        <x:v>已知</x:v>
      </x:c>
      <x:c r="K29" s="87" t="str">
        <x:v>Pickinglist</x:v>
      </x:c>
      <x:c r="L29" s="87" t="str">
        <x:v>库存商品资料 / 预计采购价；沿用项目现有材料映射规则</x:v>
      </x:c>
    </x:row>
    <x:row r="30" ht="36" customHeight="1">
      <x:c r="A30" s="86" t="str">
        <x:v>PP0018-Bedroom2 PP0018-Bedroom3 PP0018-Bedroom4（PP0018bedroom_2_3_4closetwalnut）</x:v>
      </x:c>
      <x:c r="B30" s="87" t="str">
        <x:v>Work Order Traveler(PP0018bedroom_2_3_4closetwalnut).xlsx</x:v>
      </x:c>
      <x:c r="C30" s="87" t="str">
        <x:v>Edge banding--Walnut</x:v>
      </x:c>
      <x:c r="D30" s="87" t="str">
        <x:v>M/米</x:v>
      </x:c>
      <x:c r="E30" s="87" t="str">
        <x:v>M0160</x:v>
      </x:c>
      <x:c r="F30" s="87" t="str">
        <x:v>M</x:v>
      </x:c>
      <x:c r="G30" s="88" t="n">
        <x:v>346</x:v>
      </x:c>
      <x:c r="H30" s="89" t="n">
        <x:v>0.2</x:v>
      </x:c>
      <x:c r="I30" s="89" t="n">
        <x:f>G30*H30</x:f>
        <x:v>69.2</x:v>
      </x:c>
      <x:c r="J30" s="87" t="str">
        <x:v>已知</x:v>
      </x:c>
      <x:c r="K30" s="87" t="str">
        <x:v>Pickinglist</x:v>
      </x:c>
      <x:c r="L30" s="87" t="str">
        <x:v>库存商品资料 / 预计采购价；沿用项目现有材料映射规则</x:v>
      </x:c>
    </x:row>
    <x:row r="31" ht="36" customHeight="1">
      <x:c r="A31" s="90" t="str">
        <x:v>PP0018-Bedroom2 PP0018-Bedroom3 PP0018-Bedroom4（PP0018bedroom_2_3_4closetwalnut） 小计</x:v>
      </x:c>
      <x:c r="B31" s="90"/>
      <x:c r="C31" s="90"/>
      <x:c r="D31" s="90"/>
      <x:c r="E31" s="90"/>
      <x:c r="F31" s="90"/>
      <x:c r="G31" s="91"/>
      <x:c r="H31" s="92"/>
      <x:c r="I31" s="92" t="n">
        <x:f>SUM(I26:I30)</x:f>
        <x:v>2156.2999999999997</x:v>
      </x:c>
      <x:c r="J31" s="90" t="str">
        <x:v>房间材料成本</x:v>
      </x:c>
      <x:c r="K31" s="90"/>
      <x:c r="L31" s="93"/>
    </x:row>
    <x:row r="32" ht="36" customHeight="1">
      <x:c r="A32" s="86" t="str">
        <x:v>PP0018-FOYER/PP0018-FIRE PLACE（PP0018_fireplace_foyer_updated）</x:v>
      </x:c>
      <x:c r="B32" s="87" t="str">
        <x:v>Work Order Traveler(PP0018_fireplace_foyer_updated).xlsx</x:v>
      </x:c>
      <x:c r="C32" s="87" t="str">
        <x:v>18mm--plywood</x:v>
      </x:c>
      <x:c r="D32" s="87" t="str">
        <x:v>2440*1220</x:v>
      </x:c>
      <x:c r="E32" s="87" t="str">
        <x:v>M0004</x:v>
      </x:c>
      <x:c r="F32" s="87" t="str">
        <x:v>SHT</x:v>
      </x:c>
      <x:c r="G32" s="88" t="n">
        <x:v>9</x:v>
      </x:c>
      <x:c r="H32" s="89" t="n">
        <x:v>31.76</x:v>
      </x:c>
      <x:c r="I32" s="89" t="n">
        <x:f>G32*H32</x:f>
        <x:v>285.84000000000003</x:v>
      </x:c>
      <x:c r="J32" s="87" t="str">
        <x:v>已知</x:v>
      </x:c>
      <x:c r="K32" s="87" t="str">
        <x:v>Pickinglist</x:v>
      </x:c>
      <x:c r="L32" s="87" t="str">
        <x:v>库存商品资料 / 预计采购价；沿用项目现有材料映射规则</x:v>
      </x:c>
    </x:row>
    <x:row r="33" ht="36" customHeight="1">
      <x:c r="A33" s="86" t="str">
        <x:v>PP0018-FOYER/PP0018-FIRE PLACE（PP0018_fireplace_foyer_updated）</x:v>
      </x:c>
      <x:c r="B33" s="87" t="str">
        <x:v>Work Order Traveler(PP0018_fireplace_foyer_updated).xlsx</x:v>
      </x:c>
      <x:c r="C33" s="87" t="str">
        <x:v>19.1mm--Ivory Oak</x:v>
      </x:c>
      <x:c r="D33" s="87" t="str">
        <x:v>2745*1220</x:v>
      </x:c>
      <x:c r="E33" s="87" t="str">
        <x:v>M0144</x:v>
      </x:c>
      <x:c r="F33" s="87" t="str">
        <x:v>SHT</x:v>
      </x:c>
      <x:c r="G33" s="88" t="n">
        <x:v>14</x:v>
      </x:c>
      <x:c r="H33" s="89" t="n">
        <x:v>455</x:v>
      </x:c>
      <x:c r="I33" s="89" t="n">
        <x:f>G33*H33</x:f>
        <x:v>6370</x:v>
      </x:c>
      <x:c r="J33" s="87" t="str">
        <x:v>已知</x:v>
      </x:c>
      <x:c r="K33" s="87" t="str">
        <x:v>Pickinglist</x:v>
      </x:c>
      <x:c r="L33" s="87" t="str">
        <x:v>库存商品资料 / 预计采购价；沿用项目现有材料映射规则</x:v>
      </x:c>
    </x:row>
    <x:row r="34" ht="36" customHeight="1">
      <x:c r="A34" s="86" t="str">
        <x:v>PP0018-FOYER/PP0018-FIRE PLACE（PP0018_fireplace_foyer_updated）</x:v>
      </x:c>
      <x:c r="B34" s="87" t="str">
        <x:v>Work Order Traveler(PP0018_fireplace_foyer_updated).xlsx</x:v>
      </x:c>
      <x:c r="C34" s="87" t="str">
        <x:v>5.4mm--plywood</x:v>
      </x:c>
      <x:c r="D34" s="87" t="str">
        <x:v>2440*1220</x:v>
      </x:c>
      <x:c r="E34" s="87" t="str">
        <x:v>M0002</x:v>
      </x:c>
      <x:c r="F34" s="87" t="str">
        <x:v>SHT</x:v>
      </x:c>
      <x:c r="G34" s="88" t="n">
        <x:v>4</x:v>
      </x:c>
      <x:c r="H34" s="89" t="n">
        <x:v>12.5</x:v>
      </x:c>
      <x:c r="I34" s="89" t="n">
        <x:f>G34*H34</x:f>
        <x:v>50</x:v>
      </x:c>
      <x:c r="J34" s="87" t="str">
        <x:v>已知</x:v>
      </x:c>
      <x:c r="K34" s="87" t="str">
        <x:v>Pickinglist</x:v>
      </x:c>
      <x:c r="L34" s="87" t="str">
        <x:v>库存商品资料 / 预计采购价；沿用项目现有材料映射规则</x:v>
      </x:c>
    </x:row>
    <x:row r="35" ht="36" customHeight="1">
      <x:c r="A35" s="86" t="str">
        <x:v>PP0018-FOYER/PP0018-FIRE PLACE（PP0018_fireplace_foyer_updated）</x:v>
      </x:c>
      <x:c r="B35" s="87" t="str">
        <x:v>Work Order Traveler(PP0018_fireplace_foyer_updated).xlsx</x:v>
      </x:c>
      <x:c r="C35" s="87" t="str">
        <x:v>Edge banding--Ivory Oak</x:v>
      </x:c>
      <x:c r="D35" s="87" t="str">
        <x:v>M/米</x:v>
      </x:c>
      <x:c r="E35" s="87" t="str">
        <x:v>M0145</x:v>
      </x:c>
      <x:c r="F35" s="87" t="str">
        <x:v>M</x:v>
      </x:c>
      <x:c r="G35" s="88" t="n">
        <x:v>298.6</x:v>
      </x:c>
      <x:c r="H35" s="89" t="n">
        <x:v>3.2</x:v>
      </x:c>
      <x:c r="I35" s="89" t="n">
        <x:f>G35*H35</x:f>
        <x:v>955.5200000000001</x:v>
      </x:c>
      <x:c r="J35" s="87" t="str">
        <x:v>已知</x:v>
      </x:c>
      <x:c r="K35" s="87" t="str">
        <x:v>Pickinglist</x:v>
      </x:c>
      <x:c r="L35" s="87" t="str">
        <x:v>库存商品资料 / 预计采购价；沿用项目现有材料映射规则</x:v>
      </x:c>
    </x:row>
    <x:row r="36" ht="36" customHeight="1">
      <x:c r="A36" s="90" t="str">
        <x:v>PP0018-FOYER/PP0018-FIRE PLACE（PP0018_fireplace_foyer_updated） 小计</x:v>
      </x:c>
      <x:c r="B36" s="90"/>
      <x:c r="C36" s="90"/>
      <x:c r="D36" s="90"/>
      <x:c r="E36" s="90"/>
      <x:c r="F36" s="90"/>
      <x:c r="G36" s="91"/>
      <x:c r="H36" s="92"/>
      <x:c r="I36" s="92" t="n">
        <x:f>SUM(I32:I35)</x:f>
        <x:v>7661.360000000001</x:v>
      </x:c>
      <x:c r="J36" s="90" t="str">
        <x:v>房间材料成本</x:v>
      </x:c>
      <x:c r="K36" s="90"/>
      <x:c r="L36" s="93"/>
    </x:row>
    <x:row r="37" ht="36" customHeight="1">
      <x:c r="A37" s="86" t="str">
        <x:v>pp0018-KITCHEN（PP0018kitchenblancosmnew）</x:v>
      </x:c>
      <x:c r="B37" s="87" t="str">
        <x:v>Work Order Traveler(PP0018kitchenblancosmnew).xlsx</x:v>
      </x:c>
      <x:c r="C37" s="87" t="str">
        <x:v>19.1mm--Blanco SM</x:v>
      </x:c>
      <x:c r="D37" s="87" t="str">
        <x:v>2440*1220</x:v>
      </x:c>
      <x:c r="E37" s="87" t="str">
        <x:v>M0055</x:v>
      </x:c>
      <x:c r="F37" s="87" t="str">
        <x:v>SHT</x:v>
      </x:c>
      <x:c r="G37" s="88" t="n">
        <x:v>8</x:v>
      </x:c>
      <x:c r="H37" s="89" t="n">
        <x:v>205</x:v>
      </x:c>
      <x:c r="I37" s="89" t="n">
        <x:f>G37*H37</x:f>
        <x:v>1640</x:v>
      </x:c>
      <x:c r="J37" s="87" t="str">
        <x:v>已知</x:v>
      </x:c>
      <x:c r="K37" s="87" t="str">
        <x:v>Cuttinglist（Pickinglist为空）</x:v>
      </x:c>
      <x:c r="L37" s="87" t="str">
        <x:v>库存商品资料 / 预计采购价；沿用项目现有材料映射规则</x:v>
      </x:c>
    </x:row>
    <x:row r="38" ht="36" customHeight="1">
      <x:c r="A38" s="90" t="str">
        <x:v>pp0018-KITCHEN（PP0018kitchenblancosmnew） 小计</x:v>
      </x:c>
      <x:c r="B38" s="90"/>
      <x:c r="C38" s="90"/>
      <x:c r="D38" s="90"/>
      <x:c r="E38" s="90"/>
      <x:c r="F38" s="90"/>
      <x:c r="G38" s="91"/>
      <x:c r="H38" s="92"/>
      <x:c r="I38" s="92" t="n">
        <x:f>SUM(I37:I37)</x:f>
        <x:v>1640</x:v>
      </x:c>
      <x:c r="J38" s="90" t="str">
        <x:v>房间材料成本</x:v>
      </x:c>
      <x:c r="K38" s="90"/>
      <x:c r="L38" s="93"/>
    </x:row>
    <x:row r="39" ht="36" customHeight="1">
      <x:c r="A39" s="86" t="str">
        <x:v>pp0018-KITCHEN（PP0018kitchen）</x:v>
      </x:c>
      <x:c r="B39" s="87" t="str">
        <x:v>Work Order Traveler(PP0018kitchen).xlsx</x:v>
      </x:c>
      <x:c r="C39" s="87" t="str">
        <x:v>14.5mm--plywood</x:v>
      </x:c>
      <x:c r="D39" s="87" t="str">
        <x:v>2440*1220</x:v>
      </x:c>
      <x:c r="E39" s="87" t="str">
        <x:v>M0003</x:v>
      </x:c>
      <x:c r="F39" s="87" t="str">
        <x:v>SHT</x:v>
      </x:c>
      <x:c r="G39" s="88" t="n">
        <x:v>4</x:v>
      </x:c>
      <x:c r="H39" s="89" t="n">
        <x:v>27.41</x:v>
      </x:c>
      <x:c r="I39" s="89" t="n">
        <x:f>G39*H39</x:f>
        <x:v>109.64</x:v>
      </x:c>
      <x:c r="J39" s="87" t="str">
        <x:v>已知</x:v>
      </x:c>
      <x:c r="K39" s="87" t="str">
        <x:v>Pickinglist</x:v>
      </x:c>
      <x:c r="L39" s="87" t="str">
        <x:v>库存商品资料 / 预计采购价；沿用项目现有材料映射规则</x:v>
      </x:c>
    </x:row>
    <x:row r="40" ht="36" customHeight="1">
      <x:c r="A40" s="86" t="str">
        <x:v>pp0018-KITCHEN（PP0018kitchen）</x:v>
      </x:c>
      <x:c r="B40" s="87" t="str">
        <x:v>Work Order Traveler(PP0018kitchen).xlsx</x:v>
      </x:c>
      <x:c r="C40" s="87" t="str">
        <x:v>18mm--plywood</x:v>
      </x:c>
      <x:c r="D40" s="87" t="str">
        <x:v>2440*1220</x:v>
      </x:c>
      <x:c r="E40" s="87" t="str">
        <x:v>M0004</x:v>
      </x:c>
      <x:c r="F40" s="87" t="str">
        <x:v>SHT</x:v>
      </x:c>
      <x:c r="G40" s="88" t="n">
        <x:v>33</x:v>
      </x:c>
      <x:c r="H40" s="89" t="n">
        <x:v>31.76</x:v>
      </x:c>
      <x:c r="I40" s="89" t="n">
        <x:f>G40*H40</x:f>
        <x:v>1048.0800000000002</x:v>
      </x:c>
      <x:c r="J40" s="87" t="str">
        <x:v>已知</x:v>
      </x:c>
      <x:c r="K40" s="87" t="str">
        <x:v>Pickinglist</x:v>
      </x:c>
      <x:c r="L40" s="87" t="str">
        <x:v>库存商品资料 / 预计采购价；沿用项目现有材料映射规则</x:v>
      </x:c>
    </x:row>
    <x:row r="41" ht="36" customHeight="1">
      <x:c r="A41" s="86" t="str">
        <x:v>pp0018-KITCHEN（PP0018kitchen）</x:v>
      </x:c>
      <x:c r="B41" s="87" t="str">
        <x:v>Work Order Traveler(PP0018kitchen).xlsx</x:v>
      </x:c>
      <x:c r="C41" s="87" t="str">
        <x:v>19.1mm--Blanco SM</x:v>
      </x:c>
      <x:c r="D41" s="87" t="str">
        <x:v>2745*1220</x:v>
      </x:c>
      <x:c r="E41" s="87" t="str">
        <x:v>M0055</x:v>
      </x:c>
      <x:c r="F41" s="87" t="str">
        <x:v>SHT</x:v>
      </x:c>
      <x:c r="G41" s="88" t="n">
        <x:v>7</x:v>
      </x:c>
      <x:c r="H41" s="89" t="n">
        <x:v>205</x:v>
      </x:c>
      <x:c r="I41" s="89" t="n">
        <x:f>G41*H41</x:f>
        <x:v>1435</x:v>
      </x:c>
      <x:c r="J41" s="87" t="str">
        <x:v>已知</x:v>
      </x:c>
      <x:c r="K41" s="87" t="str">
        <x:v>Pickinglist</x:v>
      </x:c>
      <x:c r="L41" s="87" t="str">
        <x:v>库存商品资料 / 预计采购价；沿用项目现有材料映射规则</x:v>
      </x:c>
    </x:row>
    <x:row r="42" ht="36" customHeight="1">
      <x:c r="A42" s="86" t="str">
        <x:v>pp0018-KITCHEN（PP0018kitchen）</x:v>
      </x:c>
      <x:c r="B42" s="87" t="str">
        <x:v>Work Order Traveler(PP0018kitchen).xlsx</x:v>
      </x:c>
      <x:c r="C42" s="87" t="str">
        <x:v>19.1mm--Ivory Oak</x:v>
      </x:c>
      <x:c r="D42" s="87" t="str">
        <x:v>2745*1220</x:v>
      </x:c>
      <x:c r="E42" s="87" t="str">
        <x:v>M0144</x:v>
      </x:c>
      <x:c r="F42" s="87" t="str">
        <x:v>SHT</x:v>
      </x:c>
      <x:c r="G42" s="88" t="n">
        <x:v>16</x:v>
      </x:c>
      <x:c r="H42" s="89" t="n">
        <x:v>455</x:v>
      </x:c>
      <x:c r="I42" s="89" t="n">
        <x:f>G42*H42</x:f>
        <x:v>7280</x:v>
      </x:c>
      <x:c r="J42" s="87" t="str">
        <x:v>已知</x:v>
      </x:c>
      <x:c r="K42" s="87" t="str">
        <x:v>Pickinglist</x:v>
      </x:c>
      <x:c r="L42" s="87" t="str">
        <x:v>库存商品资料 / 预计采购价；沿用项目现有材料映射规则</x:v>
      </x:c>
    </x:row>
    <x:row r="43" ht="36" customHeight="1">
      <x:c r="A43" s="86" t="str">
        <x:v>pp0018-KITCHEN（PP0018kitchen）</x:v>
      </x:c>
      <x:c r="B43" s="87" t="str">
        <x:v>Work Order Traveler(PP0018kitchen).xlsx</x:v>
      </x:c>
      <x:c r="C43" s="87" t="str">
        <x:v>5.4mm--plywood</x:v>
      </x:c>
      <x:c r="D43" s="87" t="str">
        <x:v>2440*1220</x:v>
      </x:c>
      <x:c r="E43" s="87" t="str">
        <x:v>M0002</x:v>
      </x:c>
      <x:c r="F43" s="87" t="str">
        <x:v>SHT</x:v>
      </x:c>
      <x:c r="G43" s="88" t="n">
        <x:v>10</x:v>
      </x:c>
      <x:c r="H43" s="89" t="n">
        <x:v>12.5</x:v>
      </x:c>
      <x:c r="I43" s="89" t="n">
        <x:f>G43*H43</x:f>
        <x:v>125</x:v>
      </x:c>
      <x:c r="J43" s="87" t="str">
        <x:v>已知</x:v>
      </x:c>
      <x:c r="K43" s="87" t="str">
        <x:v>Pickinglist</x:v>
      </x:c>
      <x:c r="L43" s="87" t="str">
        <x:v>库存商品资料 / 预计采购价；沿用项目现有材料映射规则</x:v>
      </x:c>
    </x:row>
    <x:row r="44" ht="36" customHeight="1">
      <x:c r="A44" s="90" t="str">
        <x:v>pp0018-KITCHEN（PP0018kitchen） 小计</x:v>
      </x:c>
      <x:c r="B44" s="90"/>
      <x:c r="C44" s="90"/>
      <x:c r="D44" s="90"/>
      <x:c r="E44" s="90"/>
      <x:c r="F44" s="90"/>
      <x:c r="G44" s="91"/>
      <x:c r="H44" s="92"/>
      <x:c r="I44" s="92" t="n">
        <x:f>SUM(I39:I43)</x:f>
        <x:v>9997.720000000001</x:v>
      </x:c>
      <x:c r="J44" s="90" t="str">
        <x:v>房间材料成本</x:v>
      </x:c>
      <x:c r="K44" s="90"/>
      <x:c r="L44" s="93"/>
    </x:row>
    <x:row r="45" ht="36" customHeight="1">
      <x:c r="A45" s="86" t="str">
        <x:v>PP0018-master closet（PP0018MasterClosetWalnut）</x:v>
      </x:c>
      <x:c r="B45" s="87" t="str">
        <x:v>Work Order Traveler(PP0018MasterClosetWalnut).xlsx</x:v>
      </x:c>
      <x:c r="C45" s="87" t="str">
        <x:v>14.5mm--plywood</x:v>
      </x:c>
      <x:c r="D45" s="87" t="str">
        <x:v>2440*1220</x:v>
      </x:c>
      <x:c r="E45" s="87" t="str">
        <x:v>M0003</x:v>
      </x:c>
      <x:c r="F45" s="87" t="str">
        <x:v>SHT</x:v>
      </x:c>
      <x:c r="G45" s="88" t="n">
        <x:v>4</x:v>
      </x:c>
      <x:c r="H45" s="89" t="n">
        <x:v>27.41</x:v>
      </x:c>
      <x:c r="I45" s="89" t="n">
        <x:f>G45*H45</x:f>
        <x:v>109.64</x:v>
      </x:c>
      <x:c r="J45" s="87" t="str">
        <x:v>已知</x:v>
      </x:c>
      <x:c r="K45" s="87" t="str">
        <x:v>Cuttinglist（Pickinglist缺少）</x:v>
      </x:c>
      <x:c r="L45" s="87" t="str">
        <x:v>库存商品资料 / 预计采购价；沿用项目现有材料映射规则</x:v>
      </x:c>
    </x:row>
    <x:row r="46" ht="36" customHeight="1">
      <x:c r="A46" s="86" t="str">
        <x:v>PP0018-master closet（PP0018MasterClosetWalnut）</x:v>
      </x:c>
      <x:c r="B46" s="87" t="str">
        <x:v>Work Order Traveler(PP0018MasterClosetWalnut).xlsx</x:v>
      </x:c>
      <x:c r="C46" s="87" t="str">
        <x:v>18mm--plywood</x:v>
      </x:c>
      <x:c r="D46" s="87" t="str">
        <x:v>2440*1220</x:v>
      </x:c>
      <x:c r="E46" s="87" t="str">
        <x:v>M0004</x:v>
      </x:c>
      <x:c r="F46" s="87" t="str">
        <x:v>SHT</x:v>
      </x:c>
      <x:c r="G46" s="88" t="n">
        <x:v>4</x:v>
      </x:c>
      <x:c r="H46" s="89" t="n">
        <x:v>31.76</x:v>
      </x:c>
      <x:c r="I46" s="89" t="n">
        <x:f>G46*H46</x:f>
        <x:v>127.04</x:v>
      </x:c>
      <x:c r="J46" s="87" t="str">
        <x:v>已知</x:v>
      </x:c>
      <x:c r="K46" s="87" t="str">
        <x:v>Cuttinglist（Pickinglist为空）</x:v>
      </x:c>
      <x:c r="L46" s="87" t="str">
        <x:v>库存商品资料 / 预计采购价；沿用项目现有材料映射规则</x:v>
      </x:c>
    </x:row>
    <x:row r="47" ht="36" customHeight="1">
      <x:c r="A47" s="86" t="str">
        <x:v>PP0018-master closet（PP0018MasterClosetWalnut）</x:v>
      </x:c>
      <x:c r="B47" s="87" t="str">
        <x:v>Work Order Traveler(PP0018MasterClosetWalnut).xlsx</x:v>
      </x:c>
      <x:c r="C47" s="87" t="str">
        <x:v>19.1mm--Walnut</x:v>
      </x:c>
      <x:c r="D47" s="87" t="str">
        <x:v>2745*1220</x:v>
      </x:c>
      <x:c r="E47" s="87" t="str">
        <x:v>M0159</x:v>
      </x:c>
      <x:c r="F47" s="87" t="str">
        <x:v>SHT</x:v>
      </x:c>
      <x:c r="G47" s="88" t="n">
        <x:v>39</x:v>
      </x:c>
      <x:c r="H47" s="89" t="n">
        <x:v>117.3</x:v>
      </x:c>
      <x:c r="I47" s="89" t="n">
        <x:f>G47*H47</x:f>
        <x:v>4574.7</x:v>
      </x:c>
      <x:c r="J47" s="87" t="str">
        <x:v>已知</x:v>
      </x:c>
      <x:c r="K47" s="87" t="str">
        <x:v>Cuttinglist（Pickinglist为空）</x:v>
      </x:c>
      <x:c r="L47" s="87" t="str">
        <x:v>库存商品资料 / 预计采购价；沿用项目现有材料映射规则</x:v>
      </x:c>
    </x:row>
    <x:row r="48" ht="36" customHeight="1">
      <x:c r="A48" s="86" t="str">
        <x:v>PP0018-master closet（PP0018MasterClosetWalnut）</x:v>
      </x:c>
      <x:c r="B48" s="87" t="str">
        <x:v>Work Order Traveler(PP0018MasterClosetWalnut).xlsx</x:v>
      </x:c>
      <x:c r="C48" s="87" t="str">
        <x:v>5.4mm--plywood</x:v>
      </x:c>
      <x:c r="D48" s="87" t="str">
        <x:v>2440*1220</x:v>
      </x:c>
      <x:c r="E48" s="87" t="str">
        <x:v>M0002</x:v>
      </x:c>
      <x:c r="F48" s="87" t="str">
        <x:v>SHT</x:v>
      </x:c>
      <x:c r="G48" s="88" t="n">
        <x:v>1</x:v>
      </x:c>
      <x:c r="H48" s="89" t="n">
        <x:v>12.5</x:v>
      </x:c>
      <x:c r="I48" s="89" t="n">
        <x:f>G48*H48</x:f>
        <x:v>12.5</x:v>
      </x:c>
      <x:c r="J48" s="87" t="str">
        <x:v>已知</x:v>
      </x:c>
      <x:c r="K48" s="87" t="str">
        <x:v>Cuttinglist（Pickinglist为空）</x:v>
      </x:c>
      <x:c r="L48" s="87" t="str">
        <x:v>库存商品资料 / 预计采购价；沿用项目现有材料映射规则</x:v>
      </x:c>
    </x:row>
    <x:row r="49" ht="36" customHeight="1">
      <x:c r="A49" s="94" t="str">
        <x:v>PP0018-master closet（PP0018MasterClosetWalnut）</x:v>
      </x:c>
      <x:c r="B49" s="95" t="str">
        <x:v>Work Order Traveler(PP0018MasterClosetWalnut).xlsx</x:v>
      </x:c>
      <x:c r="C49" s="95" t="str">
        <x:v>9mm--Walnut</x:v>
      </x:c>
      <x:c r="D49" s="95" t="str">
        <x:v>2745*1220</x:v>
      </x:c>
      <x:c r="E49" s="95" t="str"/>
      <x:c r="F49" s="95" t="str">
        <x:v>SHT</x:v>
      </x:c>
      <x:c r="G49" s="96" t="n">
        <x:v>11</x:v>
      </x:c>
      <x:c r="H49" s="97" t="n">
        <x:v>0</x:v>
      </x:c>
      <x:c r="I49" s="97" t="n">
        <x:f>G49*H49</x:f>
        <x:v>0</x:v>
      </x:c>
      <x:c r="J49" s="95" t="str">
        <x:v>未知价格</x:v>
      </x:c>
      <x:c r="K49" s="95" t="str">
        <x:v>Cuttinglist（Pickinglist缺少）</x:v>
      </x:c>
      <x:c r="L49" s="95" t="str">
        <x:v>商品库中没有可确认的对应价格</x:v>
      </x:c>
    </x:row>
    <x:row r="50" ht="36" customHeight="1">
      <x:c r="A50" s="90" t="str">
        <x:v>PP0018-master closet（PP0018MasterClosetWalnut） 小计</x:v>
      </x:c>
      <x:c r="B50" s="90"/>
      <x:c r="C50" s="90"/>
      <x:c r="D50" s="90"/>
      <x:c r="E50" s="90"/>
      <x:c r="F50" s="90"/>
      <x:c r="G50" s="91"/>
      <x:c r="H50" s="92"/>
      <x:c r="I50" s="92" t="n">
        <x:f>SUM(I45:I49)</x:f>
        <x:v>4823.88</x:v>
      </x:c>
      <x:c r="J50" s="90" t="str">
        <x:v>房间材料成本</x:v>
      </x:c>
      <x:c r="K50" s="90"/>
      <x:c r="L50" s="93"/>
    </x:row>
    <x:row r="51" ht="36" customHeight="1">
      <x:c r="A51" s="98"/>
      <x:c r="B51" s="98"/>
      <x:c r="C51" s="98"/>
      <x:c r="D51" s="98"/>
      <x:c r="E51" s="98"/>
      <x:c r="F51" s="98"/>
      <x:c r="G51" s="99"/>
      <x:c r="H51" s="100"/>
      <x:c r="I51" s="100"/>
      <x:c r="J51" s="98"/>
      <x:c r="K51" s="98"/>
      <x:c r="L51" s="101"/>
    </x:row>
    <x:row r="52" ht="36" customHeight="1">
      <x:c r="A52" s="102" t="str">
        <x:v>PP0018 全部房间总计</x:v>
      </x:c>
      <x:c r="B52" s="102"/>
      <x:c r="C52" s="102"/>
      <x:c r="D52" s="102"/>
      <x:c r="E52" s="102"/>
      <x:c r="F52" s="102"/>
      <x:c r="G52" s="103"/>
      <x:c r="H52" s="104"/>
      <x:c r="I52" s="104" t="n">
        <x:f>SUM(I13,I19,I25,I31,I36,I38,I44,I50)</x:f>
        <x:v>29927.564000000002</x:v>
      </x:c>
      <x:c r="J52" s="105" t="str">
        <x:v>未知价格按 $0.00 计入</x:v>
      </x:c>
      <x:c r="K52" s="102"/>
      <x:c r="L52" s="106"/>
    </x:row>
  </x:sheetData>
  <x:mergeCells>
    <x:mergeCell ref="A1:L1"/>
    <x:mergeCell ref="A2:L2"/>
    <x:mergeCell ref="A4:B4"/>
    <x:mergeCell ref="A5:B5"/>
    <x:mergeCell ref="D4:E4"/>
    <x:mergeCell ref="D5:E5"/>
    <x:mergeCell ref="G4:H4"/>
    <x:mergeCell ref="G5:H5"/>
    <x:mergeCell ref="J4:K4"/>
    <x:mergeCell ref="J5:K5"/>
    <x:mergeCell ref="A13:H13"/>
    <x:mergeCell ref="J13:L13"/>
    <x:mergeCell ref="A19:H19"/>
    <x:mergeCell ref="J19:L19"/>
    <x:mergeCell ref="A25:H25"/>
    <x:mergeCell ref="J25:L25"/>
    <x:mergeCell ref="A31:H31"/>
    <x:mergeCell ref="J31:L31"/>
    <x:mergeCell ref="A36:H36"/>
    <x:mergeCell ref="J36:L36"/>
    <x:mergeCell ref="A38:H38"/>
    <x:mergeCell ref="J38:L38"/>
    <x:mergeCell ref="A44:H44"/>
    <x:mergeCell ref="J44:L44"/>
    <x:mergeCell ref="A50:H50"/>
    <x:mergeCell ref="J50:L50"/>
    <x:mergeCell ref="A52:H52"/>
    <x:mergeCell ref="J52:L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28" hidden="0" customWidth="1"/>
    <x:col min="5" max="5" width="10" hidden="0" customWidth="1"/>
    <x:col min="6" max="6" width="12" hidden="0" customWidth="1"/>
    <x:col min="7" max="7" width="12" hidden="0" customWidth="1"/>
    <x:col min="8" max="8" width="42" hidden="0" customWidth="1"/>
    <x:col min="9" max="9" width="64" hidden="0" customWidth="1"/>
    <x:col min="10" max="10" width="16" hidden="0" customWidth="1"/>
  </x:cols>
  <x:sheetData>
    <x:row r="1">
      <x:c r="A1" s="109" t="str">
        <x:v>PP0018 材料价格与来源</x:v>
      </x:c>
      <x:c r="B1" s="109"/>
      <x:c r="C1" s="109"/>
      <x:c r="D1" s="109"/>
      <x:c r="E1" s="109"/>
      <x:c r="F1" s="109"/>
      <x:c r="G1" s="109"/>
      <x:c r="H1" s="109"/>
      <x:c r="I1" s="109"/>
      <x:c r="J1" s="109"/>
    </x:row>
    <x:row r="2" ht="32" customHeight="1">
      <x:c r="A2" s="7" t="str">
        <x:v>价格来源：/Users/lantian/Documents/pp-flowhub/data/inventory/current-products.xlsx；价格字段：预计采购价。SQLite products 表未保存价格，因此本表使用当前库存商品资料中的该字段。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12" t="str">
        <x:v>材料名称</x:v>
      </x:c>
      <x:c r="B4" s="112" t="str">
        <x:v>商品编号</x:v>
      </x:c>
      <x:c r="C4" s="112" t="str">
        <x:v>商品名称</x:v>
      </x:c>
      <x:c r="D4" s="112" t="str">
        <x:v>商品规格</x:v>
      </x:c>
      <x:c r="E4" s="112" t="str">
        <x:v>单位</x:v>
      </x:c>
      <x:c r="F4" s="112" t="str">
        <x:v>单价</x:v>
      </x:c>
      <x:c r="G4" s="112" t="str">
        <x:v>价格状态</x:v>
      </x:c>
      <x:c r="H4" s="112" t="str">
        <x:v>价格说明</x:v>
      </x:c>
      <x:c r="I4" s="112" t="str">
        <x:v>价格文件</x:v>
      </x:c>
      <x:c r="J4" s="112" t="str">
        <x:v>价格字段</x:v>
      </x:c>
    </x:row>
    <x:row r="5" ht="34" customHeight="1">
      <x:c r="A5" s="43" t="str">
        <x:v>18mm--plywood</x:v>
      </x:c>
      <x:c r="B5" s="44" t="str">
        <x:v>M0004</x:v>
      </x:c>
      <x:c r="C5" s="44" t="str">
        <x:v>3/4 Finished,UV2S</x:v>
      </x:c>
      <x:c r="D5" s="44" t="str">
        <x:v>18*1220*2440mm</x:v>
      </x:c>
      <x:c r="E5" s="44" t="str">
        <x:v>SHT</x:v>
      </x:c>
      <x:c r="F5" s="77" t="n">
        <x:v>31.76</x:v>
      </x:c>
      <x:c r="G5" s="44" t="str">
        <x:v>已知</x:v>
      </x:c>
      <x:c r="H5" s="44" t="str">
        <x:v>库存商品资料 / 预计采购价；沿用项目现有材料映射规则</x:v>
      </x:c>
      <x:c r="I5" s="44" t="str">
        <x:v>/Users/lantian/Documents/pp-flowhub/data/inventory/current-products.xlsx</x:v>
      </x:c>
      <x:c r="J5" s="45" t="str">
        <x:v>预计采购价</x:v>
      </x:c>
    </x:row>
    <x:row r="6" ht="34" customHeight="1">
      <x:c r="A6" s="43" t="str">
        <x:v>19.1mm--Cashmere SM</x:v>
      </x:c>
      <x:c r="B6" s="44" t="str">
        <x:v>M0049</x:v>
      </x:c>
      <x:c r="C6" s="44" t="str">
        <x:v>Cashmere SM</x:v>
      </x:c>
      <x:c r="D6" s="44" t="str">
        <x:v>19.1*1220*2745mm</x:v>
      </x:c>
      <x:c r="E6" s="44" t="str">
        <x:v>SHT</x:v>
      </x:c>
      <x:c r="F6" s="77" t="n">
        <x:v>205</x:v>
      </x:c>
      <x:c r="G6" s="44" t="str">
        <x:v>已知</x:v>
      </x:c>
      <x:c r="H6" s="44" t="str">
        <x:v>库存商品资料 / 预计采购价；沿用项目现有材料映射规则</x:v>
      </x:c>
      <x:c r="I6" s="44" t="str">
        <x:v>/Users/lantian/Documents/pp-flowhub/data/inventory/current-products.xlsx</x:v>
      </x:c>
      <x:c r="J6" s="45" t="str">
        <x:v>预计采购价</x:v>
      </x:c>
    </x:row>
    <x:row r="7" ht="34" customHeight="1">
      <x:c r="A7" s="43" t="str">
        <x:v>5.4mm--plywood</x:v>
      </x:c>
      <x:c r="B7" s="44" t="str">
        <x:v>M0002</x:v>
      </x:c>
      <x:c r="C7" s="44" t="str">
        <x:v>1/4 Finished,UV1S</x:v>
      </x:c>
      <x:c r="D7" s="44" t="str">
        <x:v>5.2*1220*2440mm</x:v>
      </x:c>
      <x:c r="E7" s="44" t="str">
        <x:v>SHT</x:v>
      </x:c>
      <x:c r="F7" s="77" t="n">
        <x:v>12.5</x:v>
      </x:c>
      <x:c r="G7" s="44" t="str">
        <x:v>已知</x:v>
      </x:c>
      <x:c r="H7" s="44" t="str">
        <x:v>库存商品资料 / 预计采购价；沿用项目现有材料映射规则</x:v>
      </x:c>
      <x:c r="I7" s="44" t="str">
        <x:v>/Users/lantian/Documents/pp-flowhub/data/inventory/current-products.xlsx</x:v>
      </x:c>
      <x:c r="J7" s="45" t="str">
        <x:v>预计采购价</x:v>
      </x:c>
    </x:row>
    <x:row r="8" ht="34" customHeight="1">
      <x:c r="A8" s="43" t="str">
        <x:v>Edge banding--Cashmere SM</x:v>
      </x:c>
      <x:c r="B8" s="44" t="str">
        <x:v>M0050</x:v>
      </x:c>
      <x:c r="C8" s="44" t="str">
        <x:v>Cashmere SM Edge Banding</x:v>
      </x:c>
      <x:c r="D8" s="44" t="str">
        <x:v>22mm*1mm*225m</x:v>
      </x:c>
      <x:c r="E8" s="44" t="str">
        <x:v>M</x:v>
      </x:c>
      <x:c r="F8" s="77" t="n">
        <x:v>1.07</x:v>
      </x:c>
      <x:c r="G8" s="44" t="str">
        <x:v>已知</x:v>
      </x:c>
      <x:c r="H8" s="44" t="str">
        <x:v>库存商品资料 / 预计采购价；沿用项目现有材料映射规则；封边颜色按该房间唯一 Panel 颜色推定</x:v>
      </x:c>
      <x:c r="I8" s="44" t="str">
        <x:v>/Users/lantian/Documents/pp-flowhub/data/inventory/current-products.xlsx</x:v>
      </x:c>
      <x:c r="J8" s="45" t="str">
        <x:v>预计采购价</x:v>
      </x:c>
    </x:row>
    <x:row r="9" ht="34" customHeight="1">
      <x:c r="A9" s="43" t="str">
        <x:v>14.5mm--plywood</x:v>
      </x:c>
      <x:c r="B9" s="44" t="str">
        <x:v>M0003</x:v>
      </x:c>
      <x:c r="C9" s="44" t="str">
        <x:v>5/8 Finished,UV2S</x:v>
      </x:c>
      <x:c r="D9" s="44" t="str">
        <x:v>15*1220*2440mm</x:v>
      </x:c>
      <x:c r="E9" s="44" t="str">
        <x:v>SHT</x:v>
      </x:c>
      <x:c r="F9" s="77" t="n">
        <x:v>27.41</x:v>
      </x:c>
      <x:c r="G9" s="44" t="str">
        <x:v>已知</x:v>
      </x:c>
      <x:c r="H9" s="44" t="str">
        <x:v>库存商品资料 / 预计采购价；沿用项目现有材料映射规则</x:v>
      </x:c>
      <x:c r="I9" s="44" t="str">
        <x:v>/Users/lantian/Documents/pp-flowhub/data/inventory/current-products.xlsx</x:v>
      </x:c>
      <x:c r="J9" s="45" t="str">
        <x:v>预计采购价</x:v>
      </x:c>
    </x:row>
    <x:row r="10" ht="34" customHeight="1">
      <x:c r="A10" s="43" t="str">
        <x:v>19.1mm--Ivory Oak</x:v>
      </x:c>
      <x:c r="B10" s="44" t="str">
        <x:v>M0144</x:v>
      </x:c>
      <x:c r="C10" s="44" t="str">
        <x:v>Ivory Oak</x:v>
      </x:c>
      <x:c r="D10" s="44" t="str">
        <x:v>19.1*1220*2745mm</x:v>
      </x:c>
      <x:c r="E10" s="44" t="str">
        <x:v>SHT</x:v>
      </x:c>
      <x:c r="F10" s="77" t="n">
        <x:v>455</x:v>
      </x:c>
      <x:c r="G10" s="44" t="str">
        <x:v>已知</x:v>
      </x:c>
      <x:c r="H10" s="44" t="str">
        <x:v>库存商品资料 / 预计采购价；沿用项目现有材料映射规则</x:v>
      </x:c>
      <x:c r="I10" s="44" t="str">
        <x:v>/Users/lantian/Documents/pp-flowhub/data/inventory/current-products.xlsx</x:v>
      </x:c>
      <x:c r="J10" s="45" t="str">
        <x:v>预计采购价</x:v>
      </x:c>
    </x:row>
    <x:row r="11" ht="34" customHeight="1">
      <x:c r="A11" s="43" t="str">
        <x:v>19.1mm--Woodline 4</x:v>
      </x:c>
      <x:c r="B11" s="44" t="str">
        <x:v>M0019</x:v>
      </x:c>
      <x:c r="C11" s="44" t="str">
        <x:v>Woodline 4</x:v>
      </x:c>
      <x:c r="D11" s="44" t="str">
        <x:v>19.1*1220*2745mm</x:v>
      </x:c>
      <x:c r="E11" s="44" t="str">
        <x:v>SHT</x:v>
      </x:c>
      <x:c r="F11" s="77" t="n">
        <x:v>108.7</x:v>
      </x:c>
      <x:c r="G11" s="44" t="str">
        <x:v>已知</x:v>
      </x:c>
      <x:c r="H11" s="44" t="str">
        <x:v>库存商品资料 / 预计采购价；沿用项目现有材料映射规则</x:v>
      </x:c>
      <x:c r="I11" s="44" t="str">
        <x:v>/Users/lantian/Documents/pp-flowhub/data/inventory/current-products.xlsx</x:v>
      </x:c>
      <x:c r="J11" s="45" t="str">
        <x:v>预计采购价</x:v>
      </x:c>
    </x:row>
    <x:row r="12" ht="34" customHeight="1">
      <x:c r="A12" s="60" t="str">
        <x:v>9mm--Woodline 4</x:v>
      </x:c>
      <x:c r="B12" s="61" t="str"/>
      <x:c r="C12" s="61" t="str"/>
      <x:c r="D12" s="61" t="str"/>
      <x:c r="E12" s="61" t="str"/>
      <x:c r="F12" s="79" t="n">
        <x:v>0</x:v>
      </x:c>
      <x:c r="G12" s="61" t="str">
        <x:v>未知价格</x:v>
      </x:c>
      <x:c r="H12" s="61" t="str">
        <x:v>商品库中没有可确认的对应价格</x:v>
      </x:c>
      <x:c r="I12" s="61" t="str">
        <x:v>/Users/lantian/Documents/pp-flowhub/data/inventory/current-products.xlsx</x:v>
      </x:c>
      <x:c r="J12" s="62" t="str">
        <x:v>预计采购价</x:v>
      </x:c>
    </x:row>
    <x:row r="13" ht="34" customHeight="1">
      <x:c r="A13" s="43" t="str">
        <x:v>Edge banding--Woodline 4</x:v>
      </x:c>
      <x:c r="B13" s="44" t="str">
        <x:v>M0020</x:v>
      </x:c>
      <x:c r="C13" s="44" t="str">
        <x:v>Woodline 4 Edge Banding</x:v>
      </x:c>
      <x:c r="D13" s="44" t="str">
        <x:v>22mm*1mm*225m</x:v>
      </x:c>
      <x:c r="E13" s="44" t="str">
        <x:v>M</x:v>
      </x:c>
      <x:c r="F13" s="77" t="n">
        <x:v>0.8</x:v>
      </x:c>
      <x:c r="G13" s="44" t="str">
        <x:v>已知</x:v>
      </x:c>
      <x:c r="H13" s="44" t="str">
        <x:v>库存商品资料 / 预计采购价；沿用项目现有材料映射规则</x:v>
      </x:c>
      <x:c r="I13" s="44" t="str">
        <x:v>/Users/lantian/Documents/pp-flowhub/data/inventory/current-products.xlsx</x:v>
      </x:c>
      <x:c r="J13" s="45" t="str">
        <x:v>预计采购价</x:v>
      </x:c>
    </x:row>
    <x:row r="14" ht="34" customHeight="1">
      <x:c r="A14" s="43" t="str">
        <x:v>19.1mm--Walnut</x:v>
      </x:c>
      <x:c r="B14" s="44" t="str">
        <x:v>M0159</x:v>
      </x:c>
      <x:c r="C14" s="44" t="str">
        <x:v>Walnut</x:v>
      </x:c>
      <x:c r="D14" s="44" t="str">
        <x:v>4*9*3/4“inch</x:v>
      </x:c>
      <x:c r="E14" s="44" t="str">
        <x:v>SHT</x:v>
      </x:c>
      <x:c r="F14" s="77" t="n">
        <x:v>117.3</x:v>
      </x:c>
      <x:c r="G14" s="44" t="str">
        <x:v>已知</x:v>
      </x:c>
      <x:c r="H14" s="44" t="str">
        <x:v>库存商品资料 / 预计采购价；沿用项目现有材料映射规则</x:v>
      </x:c>
      <x:c r="I14" s="44" t="str">
        <x:v>/Users/lantian/Documents/pp-flowhub/data/inventory/current-products.xlsx</x:v>
      </x:c>
      <x:c r="J14" s="45" t="str">
        <x:v>预计采购价</x:v>
      </x:c>
    </x:row>
    <x:row r="15" ht="34" customHeight="1">
      <x:c r="A15" s="43" t="str">
        <x:v>Edge banding--Walnut</x:v>
      </x:c>
      <x:c r="B15" s="44" t="str">
        <x:v>M0160</x:v>
      </x:c>
      <x:c r="C15" s="44" t="str">
        <x:v>Walnut ABS Edge Banding 22mm</x:v>
      </x:c>
      <x:c r="D15" s="44" t="str">
        <x:v>1*22mm</x:v>
      </x:c>
      <x:c r="E15" s="44" t="str">
        <x:v>M</x:v>
      </x:c>
      <x:c r="F15" s="77" t="n">
        <x:v>0.2</x:v>
      </x:c>
      <x:c r="G15" s="44" t="str">
        <x:v>已知</x:v>
      </x:c>
      <x:c r="H15" s="44" t="str">
        <x:v>库存商品资料 / 预计采购价；沿用项目现有材料映射规则</x:v>
      </x:c>
      <x:c r="I15" s="44" t="str">
        <x:v>/Users/lantian/Documents/pp-flowhub/data/inventory/current-products.xlsx</x:v>
      </x:c>
      <x:c r="J15" s="45" t="str">
        <x:v>预计采购价</x:v>
      </x:c>
    </x:row>
    <x:row r="16" ht="34" customHeight="1">
      <x:c r="A16" s="43" t="str">
        <x:v>Edge banding--Ivory Oak</x:v>
      </x:c>
      <x:c r="B16" s="44" t="str">
        <x:v>M0145</x:v>
      </x:c>
      <x:c r="C16" s="44" t="str">
        <x:v>Ivory Oak ABS banding 24mm</x:v>
      </x:c>
      <x:c r="D16" s="44" t="str">
        <x:v>1mm*24mm*50M(164)</x:v>
      </x:c>
      <x:c r="E16" s="44" t="str">
        <x:v>M</x:v>
      </x:c>
      <x:c r="F16" s="77" t="n">
        <x:v>3.2</x:v>
      </x:c>
      <x:c r="G16" s="44" t="str">
        <x:v>已知</x:v>
      </x:c>
      <x:c r="H16" s="44" t="str">
        <x:v>库存商品资料 / 预计采购价；沿用项目现有材料映射规则</x:v>
      </x:c>
      <x:c r="I16" s="44" t="str">
        <x:v>/Users/lantian/Documents/pp-flowhub/data/inventory/current-products.xlsx</x:v>
      </x:c>
      <x:c r="J16" s="45" t="str">
        <x:v>预计采购价</x:v>
      </x:c>
    </x:row>
    <x:row r="17" ht="34" customHeight="1">
      <x:c r="A17" s="43" t="str">
        <x:v>19.1mm--Blanco SM</x:v>
      </x:c>
      <x:c r="B17" s="44" t="str">
        <x:v>M0055</x:v>
      </x:c>
      <x:c r="C17" s="44" t="str">
        <x:v>Blanco SM</x:v>
      </x:c>
      <x:c r="D17" s="44" t="str">
        <x:v>19.1*1220*2745mm</x:v>
      </x:c>
      <x:c r="E17" s="44" t="str">
        <x:v>SHT</x:v>
      </x:c>
      <x:c r="F17" s="77" t="n">
        <x:v>205</x:v>
      </x:c>
      <x:c r="G17" s="44" t="str">
        <x:v>已知</x:v>
      </x:c>
      <x:c r="H17" s="44" t="str">
        <x:v>库存商品资料 / 预计采购价；沿用项目现有材料映射规则</x:v>
      </x:c>
      <x:c r="I17" s="44" t="str">
        <x:v>/Users/lantian/Documents/pp-flowhub/data/inventory/current-products.xlsx</x:v>
      </x:c>
      <x:c r="J17" s="45" t="str">
        <x:v>预计采购价</x:v>
      </x:c>
    </x:row>
    <x:row r="18" ht="34" customHeight="1">
      <x:c r="A18" s="60" t="str">
        <x:v>9mm--Walnut</x:v>
      </x:c>
      <x:c r="B18" s="61" t="str"/>
      <x:c r="C18" s="61" t="str"/>
      <x:c r="D18" s="61" t="str"/>
      <x:c r="E18" s="61" t="str"/>
      <x:c r="F18" s="79" t="n">
        <x:v>0</x:v>
      </x:c>
      <x:c r="G18" s="61" t="str">
        <x:v>未知价格</x:v>
      </x:c>
      <x:c r="H18" s="61" t="str">
        <x:v>商品库中没有可确认的对应价格</x:v>
      </x:c>
      <x:c r="I18" s="61" t="str">
        <x:v>/Users/lantian/Documents/pp-flowhub/data/inventory/current-products.xlsx</x:v>
      </x:c>
      <x:c r="J18" s="62" t="str">
        <x:v>预计采购价</x:v>
      </x:c>
    </x:row>
  </x:sheetData>
  <x:mergeCells>
    <x:mergeCell ref="A1:J1"/>
    <x:mergeCell ref="A2:J2"/>
  </x:mergeCells>
  <x:pageMargins left="0.7" right="0.7" top="0.75" bottom="0.75" header="0.3" footer="0.3"/>
</x:worksheet>
</file>